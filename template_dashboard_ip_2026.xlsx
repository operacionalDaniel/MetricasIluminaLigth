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MENSAIS" sheetId="1" state="visible" r:id="rId1"/>
    <sheet xmlns:r="http://schemas.openxmlformats.org/officeDocument/2006/relationships" name="TABELAS_SLA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8"/>
    </font>
    <font>
      <name val="Arial"/>
      <b val="1"/>
      <color rgb="00FFFFFF"/>
      <sz val="9"/>
    </font>
    <font>
      <name val="Arial"/>
      <b val="1"/>
      <color rgb="001E3A5F"/>
      <sz val="9"/>
    </font>
    <font>
      <name val="Arial"/>
      <color rgb="000000FF"/>
      <sz val="9"/>
    </font>
    <font>
      <name val="Arial"/>
      <i val="1"/>
      <color rgb="00F59E0B"/>
      <sz val="8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E2E8F0"/>
      <sz val="9"/>
    </font>
    <font>
      <name val="Arial"/>
      <i val="1"/>
      <color rgb="0064748B"/>
      <sz val="9"/>
    </font>
    <font>
      <name val="Arial"/>
      <b val="1"/>
      <color rgb="00FFFFFF"/>
      <sz val="8"/>
    </font>
    <font>
      <name val="Arial"/>
      <b val="1"/>
      <color rgb="009DB8D2"/>
      <sz val="9"/>
    </font>
  </fonts>
  <fills count="28">
    <fill>
      <patternFill/>
    </fill>
    <fill>
      <patternFill patternType="gray125"/>
    </fill>
    <fill>
      <patternFill patternType="solid">
        <fgColor rgb="000B0F1A"/>
      </patternFill>
    </fill>
    <fill>
      <patternFill patternType="solid">
        <fgColor rgb="00121827"/>
      </patternFill>
    </fill>
    <fill>
      <patternFill patternType="solid">
        <fgColor rgb="001E3A5F"/>
      </patternFill>
    </fill>
    <fill>
      <patternFill patternType="solid">
        <fgColor rgb="007F1D1D"/>
      </patternFill>
    </fill>
    <fill>
      <patternFill patternType="solid">
        <fgColor rgb="0014532D"/>
      </patternFill>
    </fill>
    <fill>
      <patternFill patternType="solid">
        <fgColor rgb="00052E16"/>
      </patternFill>
    </fill>
    <fill>
      <patternFill patternType="solid">
        <fgColor rgb="00713F12"/>
      </patternFill>
    </fill>
    <fill>
      <patternFill patternType="solid">
        <fgColor rgb="00451A03"/>
      </patternFill>
    </fill>
    <fill>
      <patternFill patternType="solid">
        <fgColor rgb="001A2F52"/>
      </patternFill>
    </fill>
    <fill>
      <patternFill patternType="solid">
        <fgColor rgb="006B1111"/>
      </patternFill>
    </fill>
    <fill>
      <patternFill patternType="solid">
        <fgColor rgb="000F4229"/>
      </patternFill>
    </fill>
    <fill>
      <patternFill patternType="solid">
        <fgColor rgb="00042318"/>
      </patternFill>
    </fill>
    <fill>
      <patternFill patternType="solid">
        <fgColor rgb="005B3209"/>
      </patternFill>
    </fill>
    <fill>
      <patternFill patternType="solid">
        <fgColor rgb="003A1502"/>
      </patternFill>
    </fill>
    <fill>
      <patternFill patternType="solid">
        <fgColor rgb="00D1E3FF"/>
      </patternFill>
    </fill>
    <fill>
      <patternFill patternType="solid">
        <fgColor rgb="00EFF6FF"/>
      </patternFill>
    </fill>
    <fill>
      <patternFill patternType="solid">
        <fgColor rgb="00C7DBFF"/>
      </patternFill>
    </fill>
    <fill>
      <patternFill patternType="solid">
        <fgColor rgb="00E8F0FE"/>
      </patternFill>
    </fill>
    <fill>
      <patternFill patternType="solid">
        <fgColor rgb="001A1A2E"/>
      </patternFill>
    </fill>
    <fill>
      <patternFill patternType="solid">
        <fgColor rgb="00EF4444"/>
      </patternFill>
    </fill>
    <fill>
      <patternFill patternType="solid">
        <fgColor rgb="001A2535"/>
      </patternFill>
    </fill>
    <fill>
      <patternFill patternType="solid">
        <fgColor rgb="00131B2A"/>
      </patternFill>
    </fill>
    <fill>
      <patternFill patternType="solid">
        <fgColor rgb="000F1726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141C2B"/>
      </patternFill>
    </fill>
  </fills>
  <borders count="6">
    <border>
      <left/>
      <right/>
      <top/>
      <bottom/>
      <diagonal/>
    </border>
    <border>
      <left style="thin">
        <color rgb="001E2D45"/>
      </left>
      <right style="thin">
        <color rgb="001E2D45"/>
      </right>
      <top style="thin">
        <color rgb="001E2D45"/>
      </top>
      <bottom style="thin">
        <color rgb="001E2D45"/>
      </bottom>
    </border>
    <border>
      <left/>
      <right/>
      <top style="thin">
        <color rgb="001E2D45"/>
      </top>
      <bottom/>
      <diagonal/>
    </border>
    <border>
      <left/>
      <right style="thin">
        <color rgb="001E2D45"/>
      </right>
      <top style="thin">
        <color rgb="001E2D45"/>
      </top>
      <bottom/>
      <diagonal/>
    </border>
    <border>
      <left/>
      <right style="thin">
        <color rgb="001E2D45"/>
      </right>
      <top style="thin">
        <color rgb="001E2D45"/>
      </top>
      <bottom style="thin">
        <color rgb="001E2D45"/>
      </bottom>
      <diagonal/>
    </border>
    <border>
      <left/>
      <right/>
      <top style="thin">
        <color rgb="001E2D45"/>
      </top>
      <bottom style="thin">
        <color rgb="001E2D45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164" fontId="5" fillId="17" borderId="1" applyAlignment="1" pivotButton="0" quotePrefix="0" xfId="0">
      <alignment horizontal="center" vertical="center"/>
    </xf>
    <xf numFmtId="2" fontId="5" fillId="17" borderId="1" applyAlignment="1" pivotButton="0" quotePrefix="0" xfId="0">
      <alignment horizontal="center" vertical="center"/>
    </xf>
    <xf numFmtId="3" fontId="5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164" fontId="5" fillId="19" borderId="1" applyAlignment="1" pivotButton="0" quotePrefix="0" xfId="0">
      <alignment horizontal="center" vertical="center"/>
    </xf>
    <xf numFmtId="2" fontId="5" fillId="19" borderId="1" applyAlignment="1" pivotButton="0" quotePrefix="0" xfId="0">
      <alignment horizontal="center" vertical="center"/>
    </xf>
    <xf numFmtId="3" fontId="5" fillId="19" borderId="1" applyAlignment="1" pivotButton="0" quotePrefix="0" xfId="0">
      <alignment horizontal="center" vertical="center"/>
    </xf>
    <xf numFmtId="165" fontId="5" fillId="19" borderId="1" applyAlignment="1" pivotButton="0" quotePrefix="0" xfId="0">
      <alignment horizontal="center" vertical="center"/>
    </xf>
    <xf numFmtId="0" fontId="6" fillId="20" borderId="0" applyAlignment="1" pivotButton="0" quotePrefix="0" xfId="0">
      <alignment horizontal="left"/>
    </xf>
    <xf numFmtId="0" fontId="7" fillId="2" borderId="0" applyAlignment="1" pivotButton="0" quotePrefix="0" xfId="0">
      <alignment horizontal="center" vertical="center"/>
    </xf>
    <xf numFmtId="0" fontId="8" fillId="21" borderId="0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8" fillId="25" borderId="0" applyAlignment="1" pivotButton="0" quotePrefix="0" xfId="0">
      <alignment horizontal="center" vertical="center"/>
    </xf>
    <xf numFmtId="0" fontId="8" fillId="26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/>
    </xf>
    <xf numFmtId="0" fontId="11" fillId="22" borderId="1" applyAlignment="1" pivotButton="0" quotePrefix="0" xfId="0">
      <alignment horizontal="center" vertical="center" wrapText="1"/>
    </xf>
    <xf numFmtId="0" fontId="12" fillId="24" borderId="1" applyAlignment="1" pivotButton="0" quotePrefix="0" xfId="0">
      <alignment horizontal="center" vertical="center"/>
    </xf>
    <xf numFmtId="10" fontId="9" fillId="24" borderId="1" applyAlignment="1" pivotButton="0" quotePrefix="0" xfId="0">
      <alignment horizontal="center" vertical="center"/>
    </xf>
    <xf numFmtId="166" fontId="9" fillId="24" borderId="1" applyAlignment="1" pivotButton="0" quotePrefix="0" xfId="0">
      <alignment horizontal="center" vertical="center"/>
    </xf>
    <xf numFmtId="164" fontId="9" fillId="24" borderId="1" applyAlignment="1" pivotButton="0" quotePrefix="0" xfId="0">
      <alignment horizontal="center" vertical="center"/>
    </xf>
    <xf numFmtId="0" fontId="12" fillId="27" borderId="1" applyAlignment="1" pivotButton="0" quotePrefix="0" xfId="0">
      <alignment horizontal="center" vertical="center"/>
    </xf>
    <xf numFmtId="10" fontId="9" fillId="27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center" vertical="center"/>
    </xf>
    <xf numFmtId="166" fontId="9" fillId="27" borderId="1" applyAlignment="1" pivotButton="0" quotePrefix="0" xfId="0">
      <alignment horizontal="center" vertical="center"/>
    </xf>
    <xf numFmtId="164" fontId="9" fillId="2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</cols>
  <sheetData>
    <row r="1" ht="38" customHeight="1">
      <c r="A1" s="1" t="inlineStr">
        <is>
          <t>DASHBOARD ILUMINAÇÃO PÚBLICA · BASE DE DADOS MENSAL</t>
        </is>
      </c>
    </row>
    <row r="2" ht="16" customHeight="1">
      <c r="A2" s="2" t="inlineStr">
        <is>
          <t>Campos AZUIS = entrada de dados · Não altere cabeçalhos nem a estrutura das colunas</t>
        </is>
      </c>
    </row>
    <row r="3" ht="22" customHeight="1">
      <c r="A3" s="3" t="inlineStr">
        <is>
          <t>MÊS</t>
        </is>
      </c>
      <c r="B3" s="4" t="inlineStr">
        <is>
          <t>FINANCEIRO</t>
        </is>
      </c>
      <c r="C3" s="45" t="n"/>
      <c r="D3" s="5" t="inlineStr">
        <is>
          <t>SLA 1 · Pontos de IP Acesos</t>
        </is>
      </c>
      <c r="E3" s="46" t="n"/>
      <c r="F3" s="45" t="n"/>
      <c r="G3" s="6" t="inlineStr">
        <is>
          <t>SLA 2 · Emergência</t>
        </is>
      </c>
      <c r="H3" s="45" t="n"/>
      <c r="I3" s="7" t="inlineStr">
        <is>
          <t>SLA 3 · Não Emerg.</t>
        </is>
      </c>
      <c r="J3" s="45" t="n"/>
      <c r="K3" s="4" t="inlineStr">
        <is>
          <t>SLA 4 · Sistema</t>
        </is>
      </c>
      <c r="L3" s="45" t="n"/>
      <c r="M3" s="8" t="inlineStr">
        <is>
          <t>SLA 5 · Distribuição Satisfação (%)</t>
        </is>
      </c>
      <c r="N3" s="46" t="n"/>
      <c r="O3" s="46" t="n"/>
      <c r="P3" s="45" t="n"/>
      <c r="Q3" s="9" t="inlineStr">
        <is>
          <t>SLA 5 · Contagem</t>
        </is>
      </c>
      <c r="R3" s="45" t="n"/>
    </row>
    <row r="4" ht="32" customHeight="1">
      <c r="A4" s="3" t="inlineStr">
        <is>
          <t>Mês</t>
        </is>
      </c>
      <c r="B4" s="10" t="inlineStr">
        <is>
          <t>CMM</t>
        </is>
      </c>
      <c r="C4" s="10" t="inlineStr">
        <is>
          <t>FM</t>
        </is>
      </c>
      <c r="D4" s="11" t="inlineStr">
        <is>
          <t>Nf</t>
        </is>
      </c>
      <c r="E4" s="11" t="inlineStr">
        <is>
          <t>Ni</t>
        </is>
      </c>
      <c r="F4" s="11" t="inlineStr">
        <is>
          <t>Pt</t>
        </is>
      </c>
      <c r="G4" s="12" t="inlineStr">
        <is>
          <t>NCEi</t>
        </is>
      </c>
      <c r="H4" s="12" t="inlineStr">
        <is>
          <t>NCEa</t>
        </is>
      </c>
      <c r="I4" s="13" t="inlineStr">
        <is>
          <t>NCNEi</t>
        </is>
      </c>
      <c r="J4" s="13" t="inlineStr">
        <is>
          <t>NCNEa</t>
        </is>
      </c>
      <c r="K4" s="10" t="inlineStr">
        <is>
          <t>Dm</t>
        </is>
      </c>
      <c r="L4" s="10" t="inlineStr">
        <is>
          <t>Ti</t>
        </is>
      </c>
      <c r="M4" s="14" t="inlineStr">
        <is>
          <t>% Ótimo</t>
        </is>
      </c>
      <c r="N4" s="14" t="inlineStr">
        <is>
          <t>% Bom</t>
        </is>
      </c>
      <c r="O4" s="14" t="inlineStr">
        <is>
          <t>% Regular</t>
        </is>
      </c>
      <c r="P4" s="14" t="inlineStr">
        <is>
          <t>% Ruim</t>
        </is>
      </c>
      <c r="Q4" s="15" t="inlineStr">
        <is>
          <t>Total Ligações</t>
        </is>
      </c>
      <c r="R4" s="15" t="inlineStr">
        <is>
          <t>Não Opinou</t>
        </is>
      </c>
    </row>
    <row r="5" ht="22" customHeight="1">
      <c r="A5" s="16" t="inlineStr">
        <is>
          <t>jan/26</t>
        </is>
      </c>
      <c r="B5" s="17" t="n"/>
      <c r="C5" s="18" t="n"/>
      <c r="D5" s="19" t="n"/>
      <c r="E5" s="19" t="n"/>
      <c r="F5" s="19" t="n"/>
      <c r="G5" s="19" t="n"/>
      <c r="H5" s="19" t="n"/>
      <c r="I5" s="19" t="n"/>
      <c r="J5" s="19" t="n"/>
      <c r="K5" s="19" t="n">
        <v>31</v>
      </c>
      <c r="L5" s="19" t="n"/>
      <c r="M5" s="20" t="n"/>
      <c r="N5" s="20" t="n"/>
      <c r="O5" s="20" t="n"/>
      <c r="P5" s="20" t="n"/>
      <c r="Q5" s="19" t="n"/>
      <c r="R5" s="19" t="n"/>
    </row>
    <row r="6" ht="22" customHeight="1">
      <c r="A6" s="21" t="inlineStr">
        <is>
          <t>fev/26</t>
        </is>
      </c>
      <c r="B6" s="22" t="n"/>
      <c r="C6" s="23" t="n"/>
      <c r="D6" s="24" t="n"/>
      <c r="E6" s="24" t="n"/>
      <c r="F6" s="24" t="n"/>
      <c r="G6" s="24" t="n"/>
      <c r="H6" s="24" t="n"/>
      <c r="I6" s="24" t="n"/>
      <c r="J6" s="24" t="n"/>
      <c r="K6" s="24" t="n">
        <v>28</v>
      </c>
      <c r="L6" s="24" t="n"/>
      <c r="M6" s="25" t="n"/>
      <c r="N6" s="25" t="n"/>
      <c r="O6" s="25" t="n"/>
      <c r="P6" s="25" t="n"/>
      <c r="Q6" s="24" t="n"/>
      <c r="R6" s="24" t="n"/>
    </row>
    <row r="7" ht="22" customHeight="1">
      <c r="A7" s="16" t="inlineStr">
        <is>
          <t>mar/26</t>
        </is>
      </c>
      <c r="B7" s="17" t="n"/>
      <c r="C7" s="18" t="n"/>
      <c r="D7" s="19" t="n"/>
      <c r="E7" s="19" t="n"/>
      <c r="F7" s="19" t="n"/>
      <c r="G7" s="19" t="n"/>
      <c r="H7" s="19" t="n"/>
      <c r="I7" s="19" t="n"/>
      <c r="J7" s="19" t="n"/>
      <c r="K7" s="19" t="n">
        <v>31</v>
      </c>
      <c r="L7" s="19" t="n"/>
      <c r="M7" s="20" t="n"/>
      <c r="N7" s="20" t="n"/>
      <c r="O7" s="20" t="n"/>
      <c r="P7" s="20" t="n"/>
      <c r="Q7" s="19" t="n"/>
      <c r="R7" s="19" t="n"/>
    </row>
    <row r="8" ht="22" customHeight="1">
      <c r="A8" s="21" t="inlineStr">
        <is>
          <t>abr/26</t>
        </is>
      </c>
      <c r="B8" s="22" t="n">
        <v>427136.76</v>
      </c>
      <c r="C8" s="23" t="n">
        <v>0.5</v>
      </c>
      <c r="D8" s="24" t="n">
        <v>221</v>
      </c>
      <c r="E8" s="24" t="n">
        <v>0</v>
      </c>
      <c r="F8" s="24" t="n">
        <v>15879</v>
      </c>
      <c r="G8" s="24" t="n">
        <v>2</v>
      </c>
      <c r="H8" s="24" t="n">
        <v>2</v>
      </c>
      <c r="I8" s="24" t="n">
        <v>15</v>
      </c>
      <c r="J8" s="24" t="n">
        <v>15</v>
      </c>
      <c r="K8" s="24" t="n">
        <v>30</v>
      </c>
      <c r="L8" s="24" t="n">
        <v>0</v>
      </c>
      <c r="M8" s="25" t="n">
        <v>64</v>
      </c>
      <c r="N8" s="25" t="n">
        <v>36</v>
      </c>
      <c r="O8" s="25" t="n">
        <v>0</v>
      </c>
      <c r="P8" s="25" t="n">
        <v>0</v>
      </c>
      <c r="Q8" s="24" t="n">
        <v>26</v>
      </c>
      <c r="R8" s="24" t="n">
        <v>2</v>
      </c>
    </row>
    <row r="9" ht="22" customHeight="1">
      <c r="A9" s="16" t="inlineStr">
        <is>
          <t>mai/26</t>
        </is>
      </c>
      <c r="B9" s="17" t="n"/>
      <c r="C9" s="18" t="n"/>
      <c r="D9" s="19" t="n"/>
      <c r="E9" s="19" t="n"/>
      <c r="F9" s="19" t="n"/>
      <c r="G9" s="19" t="n"/>
      <c r="H9" s="19" t="n"/>
      <c r="I9" s="19" t="n"/>
      <c r="J9" s="19" t="n"/>
      <c r="K9" s="19" t="n">
        <v>31</v>
      </c>
      <c r="L9" s="19" t="n"/>
      <c r="M9" s="20" t="n"/>
      <c r="N9" s="20" t="n"/>
      <c r="O9" s="20" t="n"/>
      <c r="P9" s="20" t="n"/>
      <c r="Q9" s="19" t="n"/>
      <c r="R9" s="19" t="n"/>
    </row>
    <row r="10" ht="22" customHeight="1">
      <c r="A10" s="21" t="inlineStr">
        <is>
          <t>jun/26</t>
        </is>
      </c>
      <c r="B10" s="22" t="n"/>
      <c r="C10" s="23" t="n"/>
      <c r="D10" s="24" t="n"/>
      <c r="E10" s="24" t="n"/>
      <c r="F10" s="24" t="n"/>
      <c r="G10" s="24" t="n"/>
      <c r="H10" s="24" t="n"/>
      <c r="I10" s="24" t="n"/>
      <c r="J10" s="24" t="n"/>
      <c r="K10" s="24" t="n">
        <v>30</v>
      </c>
      <c r="L10" s="24" t="n"/>
      <c r="M10" s="25" t="n"/>
      <c r="N10" s="25" t="n"/>
      <c r="O10" s="25" t="n"/>
      <c r="P10" s="25" t="n"/>
      <c r="Q10" s="24" t="n"/>
      <c r="R10" s="24" t="n"/>
    </row>
    <row r="11" ht="22" customHeight="1">
      <c r="A11" s="16" t="inlineStr">
        <is>
          <t>jul/26</t>
        </is>
      </c>
      <c r="B11" s="17" t="n"/>
      <c r="C11" s="18" t="n"/>
      <c r="D11" s="19" t="n"/>
      <c r="E11" s="19" t="n"/>
      <c r="F11" s="19" t="n"/>
      <c r="G11" s="19" t="n"/>
      <c r="H11" s="19" t="n"/>
      <c r="I11" s="19" t="n"/>
      <c r="J11" s="19" t="n"/>
      <c r="K11" s="19" t="n">
        <v>31</v>
      </c>
      <c r="L11" s="19" t="n"/>
      <c r="M11" s="20" t="n"/>
      <c r="N11" s="20" t="n"/>
      <c r="O11" s="20" t="n"/>
      <c r="P11" s="20" t="n"/>
      <c r="Q11" s="19" t="n"/>
      <c r="R11" s="19" t="n"/>
    </row>
    <row r="12" ht="22" customHeight="1">
      <c r="A12" s="21" t="inlineStr">
        <is>
          <t>ago/26</t>
        </is>
      </c>
      <c r="B12" s="22" t="n"/>
      <c r="C12" s="23" t="n"/>
      <c r="D12" s="24" t="n"/>
      <c r="E12" s="24" t="n"/>
      <c r="F12" s="24" t="n"/>
      <c r="G12" s="24" t="n"/>
      <c r="H12" s="24" t="n"/>
      <c r="I12" s="24" t="n"/>
      <c r="J12" s="24" t="n"/>
      <c r="K12" s="24" t="n">
        <v>31</v>
      </c>
      <c r="L12" s="24" t="n"/>
      <c r="M12" s="25" t="n"/>
      <c r="N12" s="25" t="n"/>
      <c r="O12" s="25" t="n"/>
      <c r="P12" s="25" t="n"/>
      <c r="Q12" s="24" t="n"/>
      <c r="R12" s="24" t="n"/>
    </row>
    <row r="13" ht="22" customHeight="1">
      <c r="A13" s="16" t="inlineStr">
        <is>
          <t>set/26</t>
        </is>
      </c>
      <c r="B13" s="17" t="n"/>
      <c r="C13" s="18" t="n"/>
      <c r="D13" s="19" t="n"/>
      <c r="E13" s="19" t="n"/>
      <c r="F13" s="19" t="n"/>
      <c r="G13" s="19" t="n"/>
      <c r="H13" s="19" t="n"/>
      <c r="I13" s="19" t="n"/>
      <c r="J13" s="19" t="n"/>
      <c r="K13" s="19" t="n">
        <v>30</v>
      </c>
      <c r="L13" s="19" t="n"/>
      <c r="M13" s="20" t="n"/>
      <c r="N13" s="20" t="n"/>
      <c r="O13" s="20" t="n"/>
      <c r="P13" s="20" t="n"/>
      <c r="Q13" s="19" t="n"/>
      <c r="R13" s="19" t="n"/>
    </row>
    <row r="14" ht="22" customHeight="1">
      <c r="A14" s="21" t="inlineStr">
        <is>
          <t>out/26</t>
        </is>
      </c>
      <c r="B14" s="22" t="n"/>
      <c r="C14" s="23" t="n"/>
      <c r="D14" s="24" t="n"/>
      <c r="E14" s="24" t="n"/>
      <c r="F14" s="24" t="n"/>
      <c r="G14" s="24" t="n"/>
      <c r="H14" s="24" t="n"/>
      <c r="I14" s="24" t="n"/>
      <c r="J14" s="24" t="n"/>
      <c r="K14" s="24" t="n">
        <v>31</v>
      </c>
      <c r="L14" s="24" t="n"/>
      <c r="M14" s="25" t="n"/>
      <c r="N14" s="25" t="n"/>
      <c r="O14" s="25" t="n"/>
      <c r="P14" s="25" t="n"/>
      <c r="Q14" s="24" t="n"/>
      <c r="R14" s="24" t="n"/>
    </row>
    <row r="15" ht="22" customHeight="1">
      <c r="A15" s="16" t="inlineStr">
        <is>
          <t>nov/26</t>
        </is>
      </c>
      <c r="B15" s="17" t="n"/>
      <c r="C15" s="18" t="n"/>
      <c r="D15" s="19" t="n"/>
      <c r="E15" s="19" t="n"/>
      <c r="F15" s="19" t="n"/>
      <c r="G15" s="19" t="n"/>
      <c r="H15" s="19" t="n"/>
      <c r="I15" s="19" t="n"/>
      <c r="J15" s="19" t="n"/>
      <c r="K15" s="19" t="n">
        <v>30</v>
      </c>
      <c r="L15" s="19" t="n"/>
      <c r="M15" s="20" t="n"/>
      <c r="N15" s="20" t="n"/>
      <c r="O15" s="20" t="n"/>
      <c r="P15" s="20" t="n"/>
      <c r="Q15" s="19" t="n"/>
      <c r="R15" s="19" t="n"/>
    </row>
    <row r="16" ht="22" customHeight="1">
      <c r="A16" s="21" t="inlineStr">
        <is>
          <t>dez/26</t>
        </is>
      </c>
      <c r="B16" s="22" t="n"/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>
        <v>31</v>
      </c>
      <c r="L16" s="24" t="n"/>
      <c r="M16" s="25" t="n"/>
      <c r="N16" s="25" t="n"/>
      <c r="O16" s="25" t="n"/>
      <c r="P16" s="25" t="n"/>
      <c r="Q16" s="24" t="n"/>
      <c r="R16" s="24" t="n"/>
    </row>
    <row r="17" ht="22" customHeight="1"/>
    <row r="18" ht="22" customHeight="1"/>
    <row r="19" ht="22" customHeight="1">
      <c r="A19" s="26" t="inlineStr">
        <is>
          <t>⚠  Não altere os cabeçalhos da linha 4 · Não insira linhas antes da linha 5 · Formato mês: jan/26, fev/26...</t>
        </is>
      </c>
    </row>
  </sheetData>
  <mergeCells count="10">
    <mergeCell ref="Q3:R3"/>
    <mergeCell ref="M3:P3"/>
    <mergeCell ref="A2:R2"/>
    <mergeCell ref="A19:R19"/>
    <mergeCell ref="B3:C3"/>
    <mergeCell ref="D3:F3"/>
    <mergeCell ref="A1:R1"/>
    <mergeCell ref="G3:H3"/>
    <mergeCell ref="K3:L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</cols>
  <sheetData>
    <row r="1" ht="32" customHeight="1">
      <c r="A1" s="27" t="inlineStr">
        <is>
          <t>TABELAS DE PONTUAÇÃO DOS SLAs</t>
        </is>
      </c>
    </row>
    <row r="3" ht="22" customHeight="1">
      <c r="A3" s="28" t="inlineStr">
        <is>
          <t>SLA 1 &amp; 4 — Disponibilidade / Pontos Acesos  [Peso: SLA1=40%, SLA4=10%]</t>
        </is>
      </c>
    </row>
    <row r="4">
      <c r="A4" s="29" t="inlineStr">
        <is>
          <t>Mínimo</t>
        </is>
      </c>
      <c r="B4" s="29" t="inlineStr">
        <is>
          <t>Máximo</t>
        </is>
      </c>
      <c r="C4" s="29" t="inlineStr">
        <is>
          <t>Score</t>
        </is>
      </c>
    </row>
    <row r="5">
      <c r="A5" s="30" t="inlineStr">
        <is>
          <t>99,01%</t>
        </is>
      </c>
      <c r="B5" s="30" t="inlineStr">
        <is>
          <t>100%</t>
        </is>
      </c>
      <c r="C5" s="30" t="n">
        <v>1</v>
      </c>
    </row>
    <row r="6">
      <c r="A6" s="31" t="inlineStr">
        <is>
          <t>98,01%</t>
        </is>
      </c>
      <c r="B6" s="31" t="inlineStr">
        <is>
          <t>99,00%</t>
        </is>
      </c>
      <c r="C6" s="31" t="n">
        <v>0.9</v>
      </c>
    </row>
    <row r="7">
      <c r="A7" s="30" t="inlineStr">
        <is>
          <t>97,01%</t>
        </is>
      </c>
      <c r="B7" s="30" t="inlineStr">
        <is>
          <t>98,00%</t>
        </is>
      </c>
      <c r="C7" s="30" t="n">
        <v>0.8</v>
      </c>
    </row>
    <row r="8">
      <c r="A8" s="31" t="inlineStr">
        <is>
          <t>96,01%</t>
        </is>
      </c>
      <c r="B8" s="31" t="inlineStr">
        <is>
          <t>97,00%</t>
        </is>
      </c>
      <c r="C8" s="31" t="n">
        <v>0.7</v>
      </c>
    </row>
    <row r="9">
      <c r="A9" s="30" t="inlineStr">
        <is>
          <t>0,00%</t>
        </is>
      </c>
      <c r="B9" s="30" t="inlineStr">
        <is>
          <t>96,00%</t>
        </is>
      </c>
      <c r="C9" s="30" t="n">
        <v>0</v>
      </c>
    </row>
    <row r="12" ht="22" customHeight="1">
      <c r="A12" s="32" t="inlineStr">
        <is>
          <t>SLA 2 &amp; 3 — Chamados Emergenciais / Não Emergenciais  [Peso: SLA2=20%, SLA3=20%]</t>
        </is>
      </c>
    </row>
    <row r="13">
      <c r="A13" s="29" t="inlineStr">
        <is>
          <t>Mínimo</t>
        </is>
      </c>
      <c r="B13" s="29" t="inlineStr">
        <is>
          <t>Máximo</t>
        </is>
      </c>
      <c r="C13" s="29" t="inlineStr">
        <is>
          <t>Score</t>
        </is>
      </c>
    </row>
    <row r="14">
      <c r="A14" s="30" t="inlineStr">
        <is>
          <t>93,76%</t>
        </is>
      </c>
      <c r="B14" s="30" t="inlineStr">
        <is>
          <t>100%</t>
        </is>
      </c>
      <c r="C14" s="30" t="n">
        <v>1</v>
      </c>
    </row>
    <row r="15">
      <c r="A15" s="31" t="inlineStr">
        <is>
          <t>87,51%</t>
        </is>
      </c>
      <c r="B15" s="31" t="inlineStr">
        <is>
          <t>93,75%</t>
        </is>
      </c>
      <c r="C15" s="31" t="n">
        <v>0.9</v>
      </c>
    </row>
    <row r="16">
      <c r="A16" s="30" t="inlineStr">
        <is>
          <t>81,26%</t>
        </is>
      </c>
      <c r="B16" s="30" t="inlineStr">
        <is>
          <t>87,50%</t>
        </is>
      </c>
      <c r="C16" s="30" t="n">
        <v>0.8</v>
      </c>
    </row>
    <row r="17">
      <c r="A17" s="31" t="inlineStr">
        <is>
          <t>75,01%</t>
        </is>
      </c>
      <c r="B17" s="31" t="inlineStr">
        <is>
          <t>81,25%</t>
        </is>
      </c>
      <c r="C17" s="31" t="n">
        <v>0.7</v>
      </c>
    </row>
    <row r="18">
      <c r="A18" s="30" t="inlineStr">
        <is>
          <t>0,00%</t>
        </is>
      </c>
      <c r="B18" s="30" t="inlineStr">
        <is>
          <t>75,00%</t>
        </is>
      </c>
      <c r="C18" s="30" t="n">
        <v>0</v>
      </c>
    </row>
    <row r="21" ht="22" customHeight="1">
      <c r="A21" s="33" t="inlineStr">
        <is>
          <t>SLA 5 — Pesquisa de Satisfação  [Peso: 10%]</t>
        </is>
      </c>
    </row>
    <row r="22">
      <c r="A22" s="29" t="inlineStr">
        <is>
          <t>Classificação</t>
        </is>
      </c>
      <c r="B22" s="29" t="inlineStr">
        <is>
          <t>Faixa</t>
        </is>
      </c>
      <c r="C22" s="29" t="inlineStr">
        <is>
          <t>Score</t>
        </is>
      </c>
    </row>
    <row r="23">
      <c r="A23" s="30" t="inlineStr">
        <is>
          <t>Ruim</t>
        </is>
      </c>
      <c r="B23" s="30" t="inlineStr">
        <is>
          <t>SLA &lt; 60%</t>
        </is>
      </c>
      <c r="C23" s="30" t="n">
        <v>0</v>
      </c>
    </row>
    <row r="24">
      <c r="A24" s="31" t="inlineStr">
        <is>
          <t>Regular</t>
        </is>
      </c>
      <c r="B24" s="31" t="inlineStr">
        <is>
          <t>60%≤SLA≤70%</t>
        </is>
      </c>
      <c r="C24" s="31" t="n">
        <v>0</v>
      </c>
    </row>
    <row r="25">
      <c r="A25" s="30" t="inlineStr">
        <is>
          <t>Bom</t>
        </is>
      </c>
      <c r="B25" s="30" t="inlineStr">
        <is>
          <t>70%≤SLA≤90%</t>
        </is>
      </c>
      <c r="C25" s="30" t="n">
        <v>0.9</v>
      </c>
    </row>
    <row r="26">
      <c r="A26" s="31" t="inlineStr">
        <is>
          <t>Ótimo</t>
        </is>
      </c>
      <c r="B26" s="31" t="inlineStr">
        <is>
          <t>SLA≥90%</t>
        </is>
      </c>
      <c r="C26" s="31" t="n">
        <v>1</v>
      </c>
    </row>
  </sheetData>
  <mergeCells count="4">
    <mergeCell ref="A1:C1"/>
    <mergeCell ref="A3:C3"/>
    <mergeCell ref="A21:C21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16" customWidth="1" min="12" max="12"/>
  </cols>
  <sheetData>
    <row r="1" ht="32" customHeight="1">
      <c r="A1" s="27" t="inlineStr">
        <is>
          <t>RESULTADOS CALCULADOS — NÃO EDITAR MANUALMENTE</t>
        </is>
      </c>
    </row>
    <row r="2">
      <c r="A2" s="34" t="inlineStr">
        <is>
          <t>Calculado automaticamente via DADOS_MENSAIS · linha 4 = cabeçalhos · linhas 5+ = dados</t>
        </is>
      </c>
    </row>
    <row r="3" ht="30" customHeight="1">
      <c r="A3" s="35" t="inlineStr">
        <is>
          <t>Mês</t>
        </is>
      </c>
      <c r="B3" s="35" t="inlineStr">
        <is>
          <t>PPA %
SLA1</t>
        </is>
      </c>
      <c r="C3" s="35" t="inlineStr">
        <is>
          <t>Score
SLA1</t>
        </is>
      </c>
      <c r="D3" s="35" t="inlineStr">
        <is>
          <t>PCE %
SLA2</t>
        </is>
      </c>
      <c r="E3" s="35" t="inlineStr">
        <is>
          <t>Score
SLA2</t>
        </is>
      </c>
      <c r="F3" s="35" t="inlineStr">
        <is>
          <t>PCNE%
SLA3</t>
        </is>
      </c>
      <c r="G3" s="35" t="inlineStr">
        <is>
          <t>Score
SLA3</t>
        </is>
      </c>
      <c r="H3" s="35" t="inlineStr">
        <is>
          <t>TOS %
SLA4</t>
        </is>
      </c>
      <c r="I3" s="35" t="inlineStr">
        <is>
          <t>Score
SLA4</t>
        </is>
      </c>
      <c r="J3" s="35" t="inlineStr">
        <is>
          <t>Score
SLA5</t>
        </is>
      </c>
      <c r="K3" s="35" t="inlineStr">
        <is>
          <t>IE (FE)</t>
        </is>
      </c>
      <c r="L3" s="35" t="inlineStr">
        <is>
          <t>CME (R$)</t>
        </is>
      </c>
    </row>
    <row r="4">
      <c r="A4" s="36">
        <f>DADOS_MENSAIS!A5</f>
        <v/>
      </c>
      <c r="B4" s="37">
        <f>IFERROR(1-(DADOS_MENSAIS!D5-DADOS_MENSAIS!E5)/DADOS_MENSAIS!F5,"")</f>
        <v/>
      </c>
      <c r="C4" s="31">
        <f>IFERROR(IF(B4&gt;=0.9901,1,IF(B4&gt;=0.9801,0.9,IF(B4&gt;=0.9701,0.8,IF(B4&gt;=0.9601,0.7,0)))),"")</f>
        <v/>
      </c>
      <c r="D4" s="37">
        <f>IFERROR(IF(AND(DADOS_MENSAIS!G5=0,DADOS_MENSAIS!H5=0),1,IF(DADOS_MENSAIS!G5&gt;0,DADOS_MENSAIS!H5/DADOS_MENSAIS!G5,1)),"")</f>
        <v/>
      </c>
      <c r="E4" s="31">
        <f>IFERROR(IF(D4&gt;=0.9376,1,IF(D4&gt;=0.8751,0.9,IF(D4&gt;=0.8126,0.8,IF(D4&gt;=0.7501,0.7,0)))),"")</f>
        <v/>
      </c>
      <c r="F4" s="37">
        <f>IFERROR(IF(AND(DADOS_MENSAIS!I5=0,DADOS_MENSAIS!J5=0),1,IF(DADOS_MENSAIS!I5&gt;0,DADOS_MENSAIS!J5/DADOS_MENSAIS!I5,1)),"")</f>
        <v/>
      </c>
      <c r="G4" s="31">
        <f>IFERROR(IF(F4&gt;=0.9376,1,IF(F4&gt;=0.8751,0.9,IF(F4&gt;=0.8126,0.8,IF(F4&gt;=0.7501,0.7,0)))),"")</f>
        <v/>
      </c>
      <c r="H4" s="37">
        <f>IFERROR((1440*DADOS_MENSAIS!K5-DADOS_MENSAIS!L5)/(1440*DADOS_MENSAIS!K5),"")</f>
        <v/>
      </c>
      <c r="I4" s="31">
        <f>IFERROR(IF(H4&gt;=0.9901,1,IF(H4&gt;=0.9801,0.9,IF(H4&gt;=0.9701,0.8,IF(H4&gt;=0.9601,0.7,0)))),"")</f>
        <v/>
      </c>
      <c r="J4" s="31">
        <f>IFERROR(IF((DADOS_MENSAIS!M5+DADOS_MENSAIS!N5)/100&gt;=0.9,1,IF((DADOS_MENSAIS!M5+DADOS_MENSAIS!N5)/100&gt;=0.7,0.9,0)),"")</f>
        <v/>
      </c>
      <c r="K4" s="38">
        <f>IFERROR(C4*0.4+E4*0.2+G4*0.2+I4*0.1+J4*0.1,"")</f>
        <v/>
      </c>
      <c r="L4" s="39">
        <f>IFERROR(DADOS_MENSAIS!B5*DADOS_MENSAIS!C5*K4,"")</f>
        <v/>
      </c>
    </row>
    <row r="5">
      <c r="A5" s="40">
        <f>DADOS_MENSAIS!A6</f>
        <v/>
      </c>
      <c r="B5" s="41">
        <f>IFERROR(1-(DADOS_MENSAIS!D6-DADOS_MENSAIS!E6)/DADOS_MENSAIS!F6,"")</f>
        <v/>
      </c>
      <c r="C5" s="42">
        <f>IFERROR(IF(B5&gt;=0.9901,1,IF(B5&gt;=0.9801,0.9,IF(B5&gt;=0.9701,0.8,IF(B5&gt;=0.9601,0.7,0)))),"")</f>
        <v/>
      </c>
      <c r="D5" s="41">
        <f>IFERROR(IF(AND(DADOS_MENSAIS!G6=0,DADOS_MENSAIS!H6=0),1,IF(DADOS_MENSAIS!G6&gt;0,DADOS_MENSAIS!H6/DADOS_MENSAIS!G6,1)),"")</f>
        <v/>
      </c>
      <c r="E5" s="42">
        <f>IFERROR(IF(D5&gt;=0.9376,1,IF(D5&gt;=0.8751,0.9,IF(D5&gt;=0.8126,0.8,IF(D5&gt;=0.7501,0.7,0)))),"")</f>
        <v/>
      </c>
      <c r="F5" s="41">
        <f>IFERROR(IF(AND(DADOS_MENSAIS!I6=0,DADOS_MENSAIS!J6=0),1,IF(DADOS_MENSAIS!I6&gt;0,DADOS_MENSAIS!J6/DADOS_MENSAIS!I6,1)),"")</f>
        <v/>
      </c>
      <c r="G5" s="42">
        <f>IFERROR(IF(F5&gt;=0.9376,1,IF(F5&gt;=0.8751,0.9,IF(F5&gt;=0.8126,0.8,IF(F5&gt;=0.7501,0.7,0)))),"")</f>
        <v/>
      </c>
      <c r="H5" s="41">
        <f>IFERROR((1440*DADOS_MENSAIS!K6-DADOS_MENSAIS!L6)/(1440*DADOS_MENSAIS!K6),"")</f>
        <v/>
      </c>
      <c r="I5" s="42">
        <f>IFERROR(IF(H5&gt;=0.9901,1,IF(H5&gt;=0.9801,0.9,IF(H5&gt;=0.9701,0.8,IF(H5&gt;=0.9601,0.7,0)))),"")</f>
        <v/>
      </c>
      <c r="J5" s="42">
        <f>IFERROR(IF((DADOS_MENSAIS!M6+DADOS_MENSAIS!N6)/100&gt;=0.9,1,IF((DADOS_MENSAIS!M6+DADOS_MENSAIS!N6)/100&gt;=0.7,0.9,0)),"")</f>
        <v/>
      </c>
      <c r="K5" s="43">
        <f>IFERROR(C5*0.4+E5*0.2+G5*0.2+I5*0.1+J5*0.1,"")</f>
        <v/>
      </c>
      <c r="L5" s="44">
        <f>IFERROR(DADOS_MENSAIS!B6*DADOS_MENSAIS!C6*K5,"")</f>
        <v/>
      </c>
    </row>
    <row r="6">
      <c r="A6" s="36">
        <f>DADOS_MENSAIS!A7</f>
        <v/>
      </c>
      <c r="B6" s="37">
        <f>IFERROR(1-(DADOS_MENSAIS!D7-DADOS_MENSAIS!E7)/DADOS_MENSAIS!F7,"")</f>
        <v/>
      </c>
      <c r="C6" s="31">
        <f>IFERROR(IF(B6&gt;=0.9901,1,IF(B6&gt;=0.9801,0.9,IF(B6&gt;=0.9701,0.8,IF(B6&gt;=0.9601,0.7,0)))),"")</f>
        <v/>
      </c>
      <c r="D6" s="37">
        <f>IFERROR(IF(AND(DADOS_MENSAIS!G7=0,DADOS_MENSAIS!H7=0),1,IF(DADOS_MENSAIS!G7&gt;0,DADOS_MENSAIS!H7/DADOS_MENSAIS!G7,1)),"")</f>
        <v/>
      </c>
      <c r="E6" s="31">
        <f>IFERROR(IF(D6&gt;=0.9376,1,IF(D6&gt;=0.8751,0.9,IF(D6&gt;=0.8126,0.8,IF(D6&gt;=0.7501,0.7,0)))),"")</f>
        <v/>
      </c>
      <c r="F6" s="37">
        <f>IFERROR(IF(AND(DADOS_MENSAIS!I7=0,DADOS_MENSAIS!J7=0),1,IF(DADOS_MENSAIS!I7&gt;0,DADOS_MENSAIS!J7/DADOS_MENSAIS!I7,1)),"")</f>
        <v/>
      </c>
      <c r="G6" s="31">
        <f>IFERROR(IF(F6&gt;=0.9376,1,IF(F6&gt;=0.8751,0.9,IF(F6&gt;=0.8126,0.8,IF(F6&gt;=0.7501,0.7,0)))),"")</f>
        <v/>
      </c>
      <c r="H6" s="37">
        <f>IFERROR((1440*DADOS_MENSAIS!K7-DADOS_MENSAIS!L7)/(1440*DADOS_MENSAIS!K7),"")</f>
        <v/>
      </c>
      <c r="I6" s="31">
        <f>IFERROR(IF(H6&gt;=0.9901,1,IF(H6&gt;=0.9801,0.9,IF(H6&gt;=0.9701,0.8,IF(H6&gt;=0.9601,0.7,0)))),"")</f>
        <v/>
      </c>
      <c r="J6" s="31">
        <f>IFERROR(IF((DADOS_MENSAIS!M7+DADOS_MENSAIS!N7)/100&gt;=0.9,1,IF((DADOS_MENSAIS!M7+DADOS_MENSAIS!N7)/100&gt;=0.7,0.9,0)),"")</f>
        <v/>
      </c>
      <c r="K6" s="38">
        <f>IFERROR(C6*0.4+E6*0.2+G6*0.2+I6*0.1+J6*0.1,"")</f>
        <v/>
      </c>
      <c r="L6" s="39">
        <f>IFERROR(DADOS_MENSAIS!B7*DADOS_MENSAIS!C7*K6,"")</f>
        <v/>
      </c>
    </row>
    <row r="7">
      <c r="A7" s="40">
        <f>DADOS_MENSAIS!A8</f>
        <v/>
      </c>
      <c r="B7" s="41">
        <f>IFERROR(1-(DADOS_MENSAIS!D8-DADOS_MENSAIS!E8)/DADOS_MENSAIS!F8,"")</f>
        <v/>
      </c>
      <c r="C7" s="42">
        <f>IFERROR(IF(B7&gt;=0.9901,1,IF(B7&gt;=0.9801,0.9,IF(B7&gt;=0.9701,0.8,IF(B7&gt;=0.9601,0.7,0)))),"")</f>
        <v/>
      </c>
      <c r="D7" s="41">
        <f>IFERROR(IF(AND(DADOS_MENSAIS!G8=0,DADOS_MENSAIS!H8=0),1,IF(DADOS_MENSAIS!G8&gt;0,DADOS_MENSAIS!H8/DADOS_MENSAIS!G8,1)),"")</f>
        <v/>
      </c>
      <c r="E7" s="42">
        <f>IFERROR(IF(D7&gt;=0.9376,1,IF(D7&gt;=0.8751,0.9,IF(D7&gt;=0.8126,0.8,IF(D7&gt;=0.7501,0.7,0)))),"")</f>
        <v/>
      </c>
      <c r="F7" s="41">
        <f>IFERROR(IF(AND(DADOS_MENSAIS!I8=0,DADOS_MENSAIS!J8=0),1,IF(DADOS_MENSAIS!I8&gt;0,DADOS_MENSAIS!J8/DADOS_MENSAIS!I8,1)),"")</f>
        <v/>
      </c>
      <c r="G7" s="42">
        <f>IFERROR(IF(F7&gt;=0.9376,1,IF(F7&gt;=0.8751,0.9,IF(F7&gt;=0.8126,0.8,IF(F7&gt;=0.7501,0.7,0)))),"")</f>
        <v/>
      </c>
      <c r="H7" s="41">
        <f>IFERROR((1440*DADOS_MENSAIS!K8-DADOS_MENSAIS!L8)/(1440*DADOS_MENSAIS!K8),"")</f>
        <v/>
      </c>
      <c r="I7" s="42">
        <f>IFERROR(IF(H7&gt;=0.9901,1,IF(H7&gt;=0.9801,0.9,IF(H7&gt;=0.9701,0.8,IF(H7&gt;=0.9601,0.7,0)))),"")</f>
        <v/>
      </c>
      <c r="J7" s="42">
        <f>IFERROR(IF((DADOS_MENSAIS!M8+DADOS_MENSAIS!N8)/100&gt;=0.9,1,IF((DADOS_MENSAIS!M8+DADOS_MENSAIS!N8)/100&gt;=0.7,0.9,0)),"")</f>
        <v/>
      </c>
      <c r="K7" s="43">
        <f>IFERROR(C7*0.4+E7*0.2+G7*0.2+I7*0.1+J7*0.1,"")</f>
        <v/>
      </c>
      <c r="L7" s="44">
        <f>IFERROR(DADOS_MENSAIS!B8*DADOS_MENSAIS!C8*K7,"")</f>
        <v/>
      </c>
    </row>
    <row r="8">
      <c r="A8" s="36">
        <f>DADOS_MENSAIS!A9</f>
        <v/>
      </c>
      <c r="B8" s="37">
        <f>IFERROR(1-(DADOS_MENSAIS!D9-DADOS_MENSAIS!E9)/DADOS_MENSAIS!F9,"")</f>
        <v/>
      </c>
      <c r="C8" s="31">
        <f>IFERROR(IF(B8&gt;=0.9901,1,IF(B8&gt;=0.9801,0.9,IF(B8&gt;=0.9701,0.8,IF(B8&gt;=0.9601,0.7,0)))),"")</f>
        <v/>
      </c>
      <c r="D8" s="37">
        <f>IFERROR(IF(AND(DADOS_MENSAIS!G9=0,DADOS_MENSAIS!H9=0),1,IF(DADOS_MENSAIS!G9&gt;0,DADOS_MENSAIS!H9/DADOS_MENSAIS!G9,1)),"")</f>
        <v/>
      </c>
      <c r="E8" s="31">
        <f>IFERROR(IF(D8&gt;=0.9376,1,IF(D8&gt;=0.8751,0.9,IF(D8&gt;=0.8126,0.8,IF(D8&gt;=0.7501,0.7,0)))),"")</f>
        <v/>
      </c>
      <c r="F8" s="37">
        <f>IFERROR(IF(AND(DADOS_MENSAIS!I9=0,DADOS_MENSAIS!J9=0),1,IF(DADOS_MENSAIS!I9&gt;0,DADOS_MENSAIS!J9/DADOS_MENSAIS!I9,1)),"")</f>
        <v/>
      </c>
      <c r="G8" s="31">
        <f>IFERROR(IF(F8&gt;=0.9376,1,IF(F8&gt;=0.8751,0.9,IF(F8&gt;=0.8126,0.8,IF(F8&gt;=0.7501,0.7,0)))),"")</f>
        <v/>
      </c>
      <c r="H8" s="37">
        <f>IFERROR((1440*DADOS_MENSAIS!K9-DADOS_MENSAIS!L9)/(1440*DADOS_MENSAIS!K9),"")</f>
        <v/>
      </c>
      <c r="I8" s="31">
        <f>IFERROR(IF(H8&gt;=0.9901,1,IF(H8&gt;=0.9801,0.9,IF(H8&gt;=0.9701,0.8,IF(H8&gt;=0.9601,0.7,0)))),"")</f>
        <v/>
      </c>
      <c r="J8" s="31">
        <f>IFERROR(IF((DADOS_MENSAIS!M9+DADOS_MENSAIS!N9)/100&gt;=0.9,1,IF((DADOS_MENSAIS!M9+DADOS_MENSAIS!N9)/100&gt;=0.7,0.9,0)),"")</f>
        <v/>
      </c>
      <c r="K8" s="38">
        <f>IFERROR(C8*0.4+E8*0.2+G8*0.2+I8*0.1+J8*0.1,"")</f>
        <v/>
      </c>
      <c r="L8" s="39">
        <f>IFERROR(DADOS_MENSAIS!B9*DADOS_MENSAIS!C9*K8,"")</f>
        <v/>
      </c>
    </row>
    <row r="9">
      <c r="A9" s="40">
        <f>DADOS_MENSAIS!A10</f>
        <v/>
      </c>
      <c r="B9" s="41">
        <f>IFERROR(1-(DADOS_MENSAIS!D10-DADOS_MENSAIS!E10)/DADOS_MENSAIS!F10,"")</f>
        <v/>
      </c>
      <c r="C9" s="42">
        <f>IFERROR(IF(B9&gt;=0.9901,1,IF(B9&gt;=0.9801,0.9,IF(B9&gt;=0.9701,0.8,IF(B9&gt;=0.9601,0.7,0)))),"")</f>
        <v/>
      </c>
      <c r="D9" s="41">
        <f>IFERROR(IF(AND(DADOS_MENSAIS!G10=0,DADOS_MENSAIS!H10=0),1,IF(DADOS_MENSAIS!G10&gt;0,DADOS_MENSAIS!H10/DADOS_MENSAIS!G10,1)),"")</f>
        <v/>
      </c>
      <c r="E9" s="42">
        <f>IFERROR(IF(D9&gt;=0.9376,1,IF(D9&gt;=0.8751,0.9,IF(D9&gt;=0.8126,0.8,IF(D9&gt;=0.7501,0.7,0)))),"")</f>
        <v/>
      </c>
      <c r="F9" s="41">
        <f>IFERROR(IF(AND(DADOS_MENSAIS!I10=0,DADOS_MENSAIS!J10=0),1,IF(DADOS_MENSAIS!I10&gt;0,DADOS_MENSAIS!J10/DADOS_MENSAIS!I10,1)),"")</f>
        <v/>
      </c>
      <c r="G9" s="42">
        <f>IFERROR(IF(F9&gt;=0.9376,1,IF(F9&gt;=0.8751,0.9,IF(F9&gt;=0.8126,0.8,IF(F9&gt;=0.7501,0.7,0)))),"")</f>
        <v/>
      </c>
      <c r="H9" s="41">
        <f>IFERROR((1440*DADOS_MENSAIS!K10-DADOS_MENSAIS!L10)/(1440*DADOS_MENSAIS!K10),"")</f>
        <v/>
      </c>
      <c r="I9" s="42">
        <f>IFERROR(IF(H9&gt;=0.9901,1,IF(H9&gt;=0.9801,0.9,IF(H9&gt;=0.9701,0.8,IF(H9&gt;=0.9601,0.7,0)))),"")</f>
        <v/>
      </c>
      <c r="J9" s="42">
        <f>IFERROR(IF((DADOS_MENSAIS!M10+DADOS_MENSAIS!N10)/100&gt;=0.9,1,IF((DADOS_MENSAIS!M10+DADOS_MENSAIS!N10)/100&gt;=0.7,0.9,0)),"")</f>
        <v/>
      </c>
      <c r="K9" s="43">
        <f>IFERROR(C9*0.4+E9*0.2+G9*0.2+I9*0.1+J9*0.1,"")</f>
        <v/>
      </c>
      <c r="L9" s="44">
        <f>IFERROR(DADOS_MENSAIS!B10*DADOS_MENSAIS!C10*K9,"")</f>
        <v/>
      </c>
    </row>
    <row r="10">
      <c r="A10" s="36">
        <f>DADOS_MENSAIS!A11</f>
        <v/>
      </c>
      <c r="B10" s="37">
        <f>IFERROR(1-(DADOS_MENSAIS!D11-DADOS_MENSAIS!E11)/DADOS_MENSAIS!F11,"")</f>
        <v/>
      </c>
      <c r="C10" s="31">
        <f>IFERROR(IF(B10&gt;=0.9901,1,IF(B10&gt;=0.9801,0.9,IF(B10&gt;=0.9701,0.8,IF(B10&gt;=0.9601,0.7,0)))),"")</f>
        <v/>
      </c>
      <c r="D10" s="37">
        <f>IFERROR(IF(AND(DADOS_MENSAIS!G11=0,DADOS_MENSAIS!H11=0),1,IF(DADOS_MENSAIS!G11&gt;0,DADOS_MENSAIS!H11/DADOS_MENSAIS!G11,1)),"")</f>
        <v/>
      </c>
      <c r="E10" s="31">
        <f>IFERROR(IF(D10&gt;=0.9376,1,IF(D10&gt;=0.8751,0.9,IF(D10&gt;=0.8126,0.8,IF(D10&gt;=0.7501,0.7,0)))),"")</f>
        <v/>
      </c>
      <c r="F10" s="37">
        <f>IFERROR(IF(AND(DADOS_MENSAIS!I11=0,DADOS_MENSAIS!J11=0),1,IF(DADOS_MENSAIS!I11&gt;0,DADOS_MENSAIS!J11/DADOS_MENSAIS!I11,1)),"")</f>
        <v/>
      </c>
      <c r="G10" s="31">
        <f>IFERROR(IF(F10&gt;=0.9376,1,IF(F10&gt;=0.8751,0.9,IF(F10&gt;=0.8126,0.8,IF(F10&gt;=0.7501,0.7,0)))),"")</f>
        <v/>
      </c>
      <c r="H10" s="37">
        <f>IFERROR((1440*DADOS_MENSAIS!K11-DADOS_MENSAIS!L11)/(1440*DADOS_MENSAIS!K11),"")</f>
        <v/>
      </c>
      <c r="I10" s="31">
        <f>IFERROR(IF(H10&gt;=0.9901,1,IF(H10&gt;=0.9801,0.9,IF(H10&gt;=0.9701,0.8,IF(H10&gt;=0.9601,0.7,0)))),"")</f>
        <v/>
      </c>
      <c r="J10" s="31">
        <f>IFERROR(IF((DADOS_MENSAIS!M11+DADOS_MENSAIS!N11)/100&gt;=0.9,1,IF((DADOS_MENSAIS!M11+DADOS_MENSAIS!N11)/100&gt;=0.7,0.9,0)),"")</f>
        <v/>
      </c>
      <c r="K10" s="38">
        <f>IFERROR(C10*0.4+E10*0.2+G10*0.2+I10*0.1+J10*0.1,"")</f>
        <v/>
      </c>
      <c r="L10" s="39">
        <f>IFERROR(DADOS_MENSAIS!B11*DADOS_MENSAIS!C11*K10,"")</f>
        <v/>
      </c>
    </row>
    <row r="11">
      <c r="A11" s="40">
        <f>DADOS_MENSAIS!A12</f>
        <v/>
      </c>
      <c r="B11" s="41">
        <f>IFERROR(1-(DADOS_MENSAIS!D12-DADOS_MENSAIS!E12)/DADOS_MENSAIS!F12,"")</f>
        <v/>
      </c>
      <c r="C11" s="42">
        <f>IFERROR(IF(B11&gt;=0.9901,1,IF(B11&gt;=0.9801,0.9,IF(B11&gt;=0.9701,0.8,IF(B11&gt;=0.9601,0.7,0)))),"")</f>
        <v/>
      </c>
      <c r="D11" s="41">
        <f>IFERROR(IF(AND(DADOS_MENSAIS!G12=0,DADOS_MENSAIS!H12=0),1,IF(DADOS_MENSAIS!G12&gt;0,DADOS_MENSAIS!H12/DADOS_MENSAIS!G12,1)),"")</f>
        <v/>
      </c>
      <c r="E11" s="42">
        <f>IFERROR(IF(D11&gt;=0.9376,1,IF(D11&gt;=0.8751,0.9,IF(D11&gt;=0.8126,0.8,IF(D11&gt;=0.7501,0.7,0)))),"")</f>
        <v/>
      </c>
      <c r="F11" s="41">
        <f>IFERROR(IF(AND(DADOS_MENSAIS!I12=0,DADOS_MENSAIS!J12=0),1,IF(DADOS_MENSAIS!I12&gt;0,DADOS_MENSAIS!J12/DADOS_MENSAIS!I12,1)),"")</f>
        <v/>
      </c>
      <c r="G11" s="42">
        <f>IFERROR(IF(F11&gt;=0.9376,1,IF(F11&gt;=0.8751,0.9,IF(F11&gt;=0.8126,0.8,IF(F11&gt;=0.7501,0.7,0)))),"")</f>
        <v/>
      </c>
      <c r="H11" s="41">
        <f>IFERROR((1440*DADOS_MENSAIS!K12-DADOS_MENSAIS!L12)/(1440*DADOS_MENSAIS!K12),"")</f>
        <v/>
      </c>
      <c r="I11" s="42">
        <f>IFERROR(IF(H11&gt;=0.9901,1,IF(H11&gt;=0.9801,0.9,IF(H11&gt;=0.9701,0.8,IF(H11&gt;=0.9601,0.7,0)))),"")</f>
        <v/>
      </c>
      <c r="J11" s="42">
        <f>IFERROR(IF((DADOS_MENSAIS!M12+DADOS_MENSAIS!N12)/100&gt;=0.9,1,IF((DADOS_MENSAIS!M12+DADOS_MENSAIS!N12)/100&gt;=0.7,0.9,0)),"")</f>
        <v/>
      </c>
      <c r="K11" s="43">
        <f>IFERROR(C11*0.4+E11*0.2+G11*0.2+I11*0.1+J11*0.1,"")</f>
        <v/>
      </c>
      <c r="L11" s="44">
        <f>IFERROR(DADOS_MENSAIS!B12*DADOS_MENSAIS!C12*K11,"")</f>
        <v/>
      </c>
    </row>
    <row r="12">
      <c r="A12" s="36">
        <f>DADOS_MENSAIS!A13</f>
        <v/>
      </c>
      <c r="B12" s="37">
        <f>IFERROR(1-(DADOS_MENSAIS!D13-DADOS_MENSAIS!E13)/DADOS_MENSAIS!F13,"")</f>
        <v/>
      </c>
      <c r="C12" s="31">
        <f>IFERROR(IF(B12&gt;=0.9901,1,IF(B12&gt;=0.9801,0.9,IF(B12&gt;=0.9701,0.8,IF(B12&gt;=0.9601,0.7,0)))),"")</f>
        <v/>
      </c>
      <c r="D12" s="37">
        <f>IFERROR(IF(AND(DADOS_MENSAIS!G13=0,DADOS_MENSAIS!H13=0),1,IF(DADOS_MENSAIS!G13&gt;0,DADOS_MENSAIS!H13/DADOS_MENSAIS!G13,1)),"")</f>
        <v/>
      </c>
      <c r="E12" s="31">
        <f>IFERROR(IF(D12&gt;=0.9376,1,IF(D12&gt;=0.8751,0.9,IF(D12&gt;=0.8126,0.8,IF(D12&gt;=0.7501,0.7,0)))),"")</f>
        <v/>
      </c>
      <c r="F12" s="37">
        <f>IFERROR(IF(AND(DADOS_MENSAIS!I13=0,DADOS_MENSAIS!J13=0),1,IF(DADOS_MENSAIS!I13&gt;0,DADOS_MENSAIS!J13/DADOS_MENSAIS!I13,1)),"")</f>
        <v/>
      </c>
      <c r="G12" s="31">
        <f>IFERROR(IF(F12&gt;=0.9376,1,IF(F12&gt;=0.8751,0.9,IF(F12&gt;=0.8126,0.8,IF(F12&gt;=0.7501,0.7,0)))),"")</f>
        <v/>
      </c>
      <c r="H12" s="37">
        <f>IFERROR((1440*DADOS_MENSAIS!K13-DADOS_MENSAIS!L13)/(1440*DADOS_MENSAIS!K13),"")</f>
        <v/>
      </c>
      <c r="I12" s="31">
        <f>IFERROR(IF(H12&gt;=0.9901,1,IF(H12&gt;=0.9801,0.9,IF(H12&gt;=0.9701,0.8,IF(H12&gt;=0.9601,0.7,0)))),"")</f>
        <v/>
      </c>
      <c r="J12" s="31">
        <f>IFERROR(IF((DADOS_MENSAIS!M13+DADOS_MENSAIS!N13)/100&gt;=0.9,1,IF((DADOS_MENSAIS!M13+DADOS_MENSAIS!N13)/100&gt;=0.7,0.9,0)),"")</f>
        <v/>
      </c>
      <c r="K12" s="38">
        <f>IFERROR(C12*0.4+E12*0.2+G12*0.2+I12*0.1+J12*0.1,"")</f>
        <v/>
      </c>
      <c r="L12" s="39">
        <f>IFERROR(DADOS_MENSAIS!B13*DADOS_MENSAIS!C13*K12,"")</f>
        <v/>
      </c>
    </row>
    <row r="13">
      <c r="A13" s="40">
        <f>DADOS_MENSAIS!A14</f>
        <v/>
      </c>
      <c r="B13" s="41">
        <f>IFERROR(1-(DADOS_MENSAIS!D14-DADOS_MENSAIS!E14)/DADOS_MENSAIS!F14,"")</f>
        <v/>
      </c>
      <c r="C13" s="42">
        <f>IFERROR(IF(B13&gt;=0.9901,1,IF(B13&gt;=0.9801,0.9,IF(B13&gt;=0.9701,0.8,IF(B13&gt;=0.9601,0.7,0)))),"")</f>
        <v/>
      </c>
      <c r="D13" s="41">
        <f>IFERROR(IF(AND(DADOS_MENSAIS!G14=0,DADOS_MENSAIS!H14=0),1,IF(DADOS_MENSAIS!G14&gt;0,DADOS_MENSAIS!H14/DADOS_MENSAIS!G14,1)),"")</f>
        <v/>
      </c>
      <c r="E13" s="42">
        <f>IFERROR(IF(D13&gt;=0.9376,1,IF(D13&gt;=0.8751,0.9,IF(D13&gt;=0.8126,0.8,IF(D13&gt;=0.7501,0.7,0)))),"")</f>
        <v/>
      </c>
      <c r="F13" s="41">
        <f>IFERROR(IF(AND(DADOS_MENSAIS!I14=0,DADOS_MENSAIS!J14=0),1,IF(DADOS_MENSAIS!I14&gt;0,DADOS_MENSAIS!J14/DADOS_MENSAIS!I14,1)),"")</f>
        <v/>
      </c>
      <c r="G13" s="42">
        <f>IFERROR(IF(F13&gt;=0.9376,1,IF(F13&gt;=0.8751,0.9,IF(F13&gt;=0.8126,0.8,IF(F13&gt;=0.7501,0.7,0)))),"")</f>
        <v/>
      </c>
      <c r="H13" s="41">
        <f>IFERROR((1440*DADOS_MENSAIS!K14-DADOS_MENSAIS!L14)/(1440*DADOS_MENSAIS!K14),"")</f>
        <v/>
      </c>
      <c r="I13" s="42">
        <f>IFERROR(IF(H13&gt;=0.9901,1,IF(H13&gt;=0.9801,0.9,IF(H13&gt;=0.9701,0.8,IF(H13&gt;=0.9601,0.7,0)))),"")</f>
        <v/>
      </c>
      <c r="J13" s="42">
        <f>IFERROR(IF((DADOS_MENSAIS!M14+DADOS_MENSAIS!N14)/100&gt;=0.9,1,IF((DADOS_MENSAIS!M14+DADOS_MENSAIS!N14)/100&gt;=0.7,0.9,0)),"")</f>
        <v/>
      </c>
      <c r="K13" s="43">
        <f>IFERROR(C13*0.4+E13*0.2+G13*0.2+I13*0.1+J13*0.1,"")</f>
        <v/>
      </c>
      <c r="L13" s="44">
        <f>IFERROR(DADOS_MENSAIS!B14*DADOS_MENSAIS!C14*K13,"")</f>
        <v/>
      </c>
    </row>
    <row r="14">
      <c r="A14" s="36">
        <f>DADOS_MENSAIS!A15</f>
        <v/>
      </c>
      <c r="B14" s="37">
        <f>IFERROR(1-(DADOS_MENSAIS!D15-DADOS_MENSAIS!E15)/DADOS_MENSAIS!F15,"")</f>
        <v/>
      </c>
      <c r="C14" s="31">
        <f>IFERROR(IF(B14&gt;=0.9901,1,IF(B14&gt;=0.9801,0.9,IF(B14&gt;=0.9701,0.8,IF(B14&gt;=0.9601,0.7,0)))),"")</f>
        <v/>
      </c>
      <c r="D14" s="37">
        <f>IFERROR(IF(AND(DADOS_MENSAIS!G15=0,DADOS_MENSAIS!H15=0),1,IF(DADOS_MENSAIS!G15&gt;0,DADOS_MENSAIS!H15/DADOS_MENSAIS!G15,1)),"")</f>
        <v/>
      </c>
      <c r="E14" s="31">
        <f>IFERROR(IF(D14&gt;=0.9376,1,IF(D14&gt;=0.8751,0.9,IF(D14&gt;=0.8126,0.8,IF(D14&gt;=0.7501,0.7,0)))),"")</f>
        <v/>
      </c>
      <c r="F14" s="37">
        <f>IFERROR(IF(AND(DADOS_MENSAIS!I15=0,DADOS_MENSAIS!J15=0),1,IF(DADOS_MENSAIS!I15&gt;0,DADOS_MENSAIS!J15/DADOS_MENSAIS!I15,1)),"")</f>
        <v/>
      </c>
      <c r="G14" s="31">
        <f>IFERROR(IF(F14&gt;=0.9376,1,IF(F14&gt;=0.8751,0.9,IF(F14&gt;=0.8126,0.8,IF(F14&gt;=0.7501,0.7,0)))),"")</f>
        <v/>
      </c>
      <c r="H14" s="37">
        <f>IFERROR((1440*DADOS_MENSAIS!K15-DADOS_MENSAIS!L15)/(1440*DADOS_MENSAIS!K15),"")</f>
        <v/>
      </c>
      <c r="I14" s="31">
        <f>IFERROR(IF(H14&gt;=0.9901,1,IF(H14&gt;=0.9801,0.9,IF(H14&gt;=0.9701,0.8,IF(H14&gt;=0.9601,0.7,0)))),"")</f>
        <v/>
      </c>
      <c r="J14" s="31">
        <f>IFERROR(IF((DADOS_MENSAIS!M15+DADOS_MENSAIS!N15)/100&gt;=0.9,1,IF((DADOS_MENSAIS!M15+DADOS_MENSAIS!N15)/100&gt;=0.7,0.9,0)),"")</f>
        <v/>
      </c>
      <c r="K14" s="38">
        <f>IFERROR(C14*0.4+E14*0.2+G14*0.2+I14*0.1+J14*0.1,"")</f>
        <v/>
      </c>
      <c r="L14" s="39">
        <f>IFERROR(DADOS_MENSAIS!B15*DADOS_MENSAIS!C15*K14,"")</f>
        <v/>
      </c>
    </row>
    <row r="15">
      <c r="A15" s="40">
        <f>DADOS_MENSAIS!A16</f>
        <v/>
      </c>
      <c r="B15" s="41">
        <f>IFERROR(1-(DADOS_MENSAIS!D16-DADOS_MENSAIS!E16)/DADOS_MENSAIS!F16,"")</f>
        <v/>
      </c>
      <c r="C15" s="42">
        <f>IFERROR(IF(B15&gt;=0.9901,1,IF(B15&gt;=0.9801,0.9,IF(B15&gt;=0.9701,0.8,IF(B15&gt;=0.9601,0.7,0)))),"")</f>
        <v/>
      </c>
      <c r="D15" s="41">
        <f>IFERROR(IF(AND(DADOS_MENSAIS!G16=0,DADOS_MENSAIS!H16=0),1,IF(DADOS_MENSAIS!G16&gt;0,DADOS_MENSAIS!H16/DADOS_MENSAIS!G16,1)),"")</f>
        <v/>
      </c>
      <c r="E15" s="42">
        <f>IFERROR(IF(D15&gt;=0.9376,1,IF(D15&gt;=0.8751,0.9,IF(D15&gt;=0.8126,0.8,IF(D15&gt;=0.7501,0.7,0)))),"")</f>
        <v/>
      </c>
      <c r="F15" s="41">
        <f>IFERROR(IF(AND(DADOS_MENSAIS!I16=0,DADOS_MENSAIS!J16=0),1,IF(DADOS_MENSAIS!I16&gt;0,DADOS_MENSAIS!J16/DADOS_MENSAIS!I16,1)),"")</f>
        <v/>
      </c>
      <c r="G15" s="42">
        <f>IFERROR(IF(F15&gt;=0.9376,1,IF(F15&gt;=0.8751,0.9,IF(F15&gt;=0.8126,0.8,IF(F15&gt;=0.7501,0.7,0)))),"")</f>
        <v/>
      </c>
      <c r="H15" s="41">
        <f>IFERROR((1440*DADOS_MENSAIS!K16-DADOS_MENSAIS!L16)/(1440*DADOS_MENSAIS!K16),"")</f>
        <v/>
      </c>
      <c r="I15" s="42">
        <f>IFERROR(IF(H15&gt;=0.9901,1,IF(H15&gt;=0.9801,0.9,IF(H15&gt;=0.9701,0.8,IF(H15&gt;=0.9601,0.7,0)))),"")</f>
        <v/>
      </c>
      <c r="J15" s="42">
        <f>IFERROR(IF((DADOS_MENSAIS!M16+DADOS_MENSAIS!N16)/100&gt;=0.9,1,IF((DADOS_MENSAIS!M16+DADOS_MENSAIS!N16)/100&gt;=0.7,0.9,0)),"")</f>
        <v/>
      </c>
      <c r="K15" s="43">
        <f>IFERROR(C15*0.4+E15*0.2+G15*0.2+I15*0.1+J15*0.1,"")</f>
        <v/>
      </c>
      <c r="L15" s="44">
        <f>IFERROR(DADOS_MENSAIS!B16*DADOS_MENSAIS!C16*K15,"")</f>
        <v/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2026-05-14T18:48:35Z</dcterms:created>
  <dcterms:modified xmlns:dcterms="http://purl.org/dc/terms/" xmlns:xsi="http://www.w3.org/2001/XMLSchema-instance" xsi:type="dcterms:W3CDTF">2026-05-15T13:25:46Z</dcterms:modified>
</cp:coreProperties>
</file>